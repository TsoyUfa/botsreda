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Траншевая ипотека" sheetId="1" state="visible" r:id="rId1"/>
    <sheet xmlns:r="http://schemas.openxmlformats.org/officeDocument/2006/relationships" name="2. Субсидированная ипотека" sheetId="2" state="visible" r:id="rId2"/>
    <sheet xmlns:r="http://schemas.openxmlformats.org/officeDocument/2006/relationships" name="3. Рассрочка от застройщи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 ₽&quot;"/>
    <numFmt numFmtId="165" formatCode="0.0%"/>
    <numFmt numFmtId="166" formatCode="0&quot; лет&quot;"/>
    <numFmt numFmtId="167" formatCode="0&quot; мес.&quot;"/>
  </numFmts>
  <fonts count="5">
    <font>
      <name val="Calibri"/>
      <family val="2"/>
      <color theme="1"/>
      <sz val="11"/>
      <scheme val="minor"/>
    </font>
    <font>
      <name val="Segoe UI"/>
      <b val="1"/>
      <color rgb="001E293B"/>
      <sz val="11"/>
    </font>
    <font>
      <name val="Segoe UI"/>
      <color rgb="00000000"/>
      <sz val="11"/>
    </font>
    <font>
      <name val="Segoe UI"/>
      <b val="1"/>
      <color rgb="00000000"/>
      <sz val="11"/>
    </font>
    <font>
      <name val="Segoe UI"/>
      <b val="1"/>
      <color rgb="00166534"/>
      <sz val="11"/>
    </font>
  </fonts>
  <fills count="6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6653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3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10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9" fontId="2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4" customWidth="1" min="2" max="2"/>
  </cols>
  <sheetData>
    <row r="1" ht="24" customHeight="1">
      <c r="A1" s="1" t="inlineStr">
        <is>
          <t>ВВОДНЫЕ ДАННЫЕ</t>
        </is>
      </c>
      <c r="B1" s="2" t="n"/>
    </row>
    <row r="2" ht="20" customHeight="1">
      <c r="A2" s="3" t="inlineStr">
        <is>
          <t>Стоимость квартиры (руб.)</t>
        </is>
      </c>
      <c r="B2" s="4" t="n">
        <v>10000000</v>
      </c>
    </row>
    <row r="3" ht="20" customHeight="1">
      <c r="A3" s="5" t="inlineStr">
        <is>
          <t>Первоначальный взнос (руб.)</t>
        </is>
      </c>
      <c r="B3" s="6" t="n">
        <v>2000000</v>
      </c>
    </row>
    <row r="4" ht="20" customHeight="1">
      <c r="A4" s="3" t="inlineStr">
        <is>
          <t>Ипотечная ставка (%)</t>
        </is>
      </c>
      <c r="B4" s="7" t="n">
        <v>0.06</v>
      </c>
    </row>
    <row r="5" ht="20" customHeight="1">
      <c r="A5" s="5" t="inlineStr">
        <is>
          <t>Срок кредита (лет)</t>
        </is>
      </c>
      <c r="B5" s="8" t="n">
        <v>30</v>
      </c>
    </row>
    <row r="6" ht="20" customHeight="1">
      <c r="A6" s="3" t="inlineStr">
        <is>
          <t>Срок строительства до сдачи (мес.)</t>
        </is>
      </c>
      <c r="B6" s="9" t="n">
        <v>24</v>
      </c>
    </row>
    <row r="7" ht="20" customHeight="1">
      <c r="A7" s="5" t="inlineStr">
        <is>
          <t>Сумма 1-го транша (руб.)</t>
        </is>
      </c>
      <c r="B7" s="6" t="n">
        <v>100000</v>
      </c>
    </row>
    <row r="8" ht="24" customHeight="1">
      <c r="A8" s="1" t="inlineStr">
        <is>
          <t>РАСЧЕТНЫЕ ДАННЫЕ</t>
        </is>
      </c>
      <c r="B8" s="2" t="n"/>
    </row>
    <row r="9" ht="20" customHeight="1">
      <c r="A9" s="10" t="inlineStr">
        <is>
          <t>Общая сумма кредита (руб.)</t>
        </is>
      </c>
      <c r="B9" s="11">
        <f>B2-B3</f>
        <v/>
      </c>
    </row>
    <row r="10" ht="20" customHeight="1">
      <c r="A10" s="12" t="inlineStr">
        <is>
          <t>Платеж до сдачи дома (руб./мес.)</t>
        </is>
      </c>
      <c r="B10" s="13">
        <f>PMT(B4/12, B5*12, -B7)</f>
        <v/>
      </c>
    </row>
    <row r="11" ht="20" customHeight="1">
      <c r="A11" s="10" t="inlineStr">
        <is>
          <t>Сумма 2-го транша (руб.)</t>
        </is>
      </c>
      <c r="B11" s="11">
        <f>B9-B7</f>
        <v/>
      </c>
    </row>
    <row r="12" ht="20" customHeight="1">
      <c r="A12" s="12" t="inlineStr">
        <is>
          <t>Платеж после сдачи дома (руб./мес.)</t>
        </is>
      </c>
      <c r="B12" s="13">
        <f>PMT(B4/12, B5*12, -B9)</f>
        <v/>
      </c>
    </row>
    <row r="13" ht="20" customHeight="1">
      <c r="A13" s="14" t="inlineStr">
        <is>
          <t>Экономия на платежах за период стройки (руб.)</t>
        </is>
      </c>
      <c r="B13" s="15">
        <f>(B12-B10)*B6</f>
        <v/>
      </c>
    </row>
  </sheetData>
  <mergeCells count="2">
    <mergeCell ref="A8:B8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4" customWidth="1" min="2" max="2"/>
  </cols>
  <sheetData>
    <row r="1" ht="24" customHeight="1">
      <c r="A1" s="1" t="inlineStr">
        <is>
          <t>ВВОДНЫЕ ДАННЫЕ</t>
        </is>
      </c>
      <c r="B1" s="2" t="n"/>
    </row>
    <row r="2" ht="20" customHeight="1">
      <c r="A2" s="3" t="inlineStr">
        <is>
          <t>Базовая стоимость квартиры (без удорожания) (руб.)</t>
        </is>
      </c>
      <c r="B2" s="4" t="n">
        <v>7500000</v>
      </c>
    </row>
    <row r="3" ht="20" customHeight="1">
      <c r="A3" s="5" t="inlineStr">
        <is>
          <t>Наценка застройщика / Удорожание (%)</t>
        </is>
      </c>
      <c r="B3" s="16" t="n">
        <v>0.1067</v>
      </c>
    </row>
    <row r="4" ht="20" customHeight="1">
      <c r="A4" s="3" t="inlineStr">
        <is>
          <t>Первоначальный взнос (руб.)</t>
        </is>
      </c>
      <c r="B4" s="4" t="n">
        <v>1500000</v>
      </c>
    </row>
    <row r="5" ht="20" customHeight="1">
      <c r="A5" s="5" t="inlineStr">
        <is>
          <t>Стандартная рыночная ставка (%)</t>
        </is>
      </c>
      <c r="B5" s="17" t="n">
        <v>0.18</v>
      </c>
    </row>
    <row r="6" ht="20" customHeight="1">
      <c r="A6" s="3" t="inlineStr">
        <is>
          <t>Субсидированная ставка (%)</t>
        </is>
      </c>
      <c r="B6" s="7" t="n">
        <v>0.06</v>
      </c>
    </row>
    <row r="7" ht="20" customHeight="1">
      <c r="A7" s="5" t="inlineStr">
        <is>
          <t>Срок кредита (лет)</t>
        </is>
      </c>
      <c r="B7" s="8" t="n">
        <v>10</v>
      </c>
    </row>
    <row r="8" ht="24" customHeight="1">
      <c r="A8" s="1" t="inlineStr">
        <is>
          <t>СРАВНЕНИЕ (РЫНОК vs СУБСИДИЯ)</t>
        </is>
      </c>
      <c r="B8" s="2" t="n"/>
    </row>
    <row r="9" ht="20" customHeight="1">
      <c r="A9" s="10" t="inlineStr">
        <is>
          <t>Стоимость квартиры с удорожанием (руб.)</t>
        </is>
      </c>
      <c r="B9" s="11">
        <f>B2*(1+B3)</f>
        <v/>
      </c>
    </row>
    <row r="10" ht="20" customHeight="1">
      <c r="A10" s="12" t="inlineStr">
        <is>
          <t>Сумма кредита (рынок) (руб.)</t>
        </is>
      </c>
      <c r="B10" s="13">
        <f>B2-B4</f>
        <v/>
      </c>
    </row>
    <row r="11" ht="20" customHeight="1">
      <c r="A11" s="10" t="inlineStr">
        <is>
          <t>Сумма кредита (субсидия) (руб.)</t>
        </is>
      </c>
      <c r="B11" s="11">
        <f>B9-B4</f>
        <v/>
      </c>
    </row>
    <row r="12" ht="20" customHeight="1">
      <c r="A12" s="12" t="inlineStr">
        <is>
          <t>Ежемесячный платеж (рынок) (руб./мес.)</t>
        </is>
      </c>
      <c r="B12" s="13">
        <f>PMT(B5/12, B7*12, -B10)</f>
        <v/>
      </c>
    </row>
    <row r="13" ht="20" customHeight="1">
      <c r="A13" s="10" t="inlineStr">
        <is>
          <t>Ежемесячный платеж (субсидия) (руб./мес.)</t>
        </is>
      </c>
      <c r="B13" s="11">
        <f>PMT(B6/12, B7*12, -B11)</f>
        <v/>
      </c>
    </row>
    <row r="14" ht="20" customHeight="1">
      <c r="A14" s="12" t="inlineStr">
        <is>
          <t>Переплата банку по процентам (рынок) (руб.)</t>
        </is>
      </c>
      <c r="B14" s="13">
        <f>(B12*B7*12)-B10</f>
        <v/>
      </c>
    </row>
    <row r="15" ht="20" customHeight="1">
      <c r="A15" s="10" t="inlineStr">
        <is>
          <t>Переплата банку по процентам (субсидия) (руб.)</t>
        </is>
      </c>
      <c r="B15" s="11">
        <f>(B13*B7*12)-B11</f>
        <v/>
      </c>
    </row>
    <row r="16" ht="20" customHeight="1">
      <c r="A16" s="14" t="inlineStr">
        <is>
          <t>Чистая выгода клиента за весь срок (руб.)</t>
        </is>
      </c>
      <c r="B16" s="15">
        <f>B14-B15-(B9-B2)</f>
        <v/>
      </c>
    </row>
  </sheetData>
  <mergeCells count="2">
    <mergeCell ref="A8:B8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4" customWidth="1" min="2" max="2"/>
  </cols>
  <sheetData>
    <row r="1" ht="24" customHeight="1">
      <c r="A1" s="1" t="inlineStr">
        <is>
          <t>ВВОДНЫЕ ДАННЫЕ</t>
        </is>
      </c>
      <c r="B1" s="2" t="n"/>
    </row>
    <row r="2" ht="20" customHeight="1">
      <c r="A2" s="3" t="inlineStr">
        <is>
          <t>Стоимость квартиры (руб.)</t>
        </is>
      </c>
      <c r="B2" s="4" t="n">
        <v>12000000</v>
      </c>
    </row>
    <row r="3" ht="20" customHeight="1">
      <c r="A3" s="5" t="inlineStr">
        <is>
          <t>Доля первоначального взноса (%)</t>
        </is>
      </c>
      <c r="B3" s="18" t="n">
        <v>0.1</v>
      </c>
    </row>
    <row r="4" ht="20" customHeight="1">
      <c r="A4" s="3" t="inlineStr">
        <is>
          <t>Ежемесячный промежуточный платеж (руб.)</t>
        </is>
      </c>
      <c r="B4" s="4" t="n">
        <v>0</v>
      </c>
    </row>
    <row r="5" ht="20" customHeight="1">
      <c r="A5" s="5" t="inlineStr">
        <is>
          <t>Срок до финального платежа (мес.)</t>
        </is>
      </c>
      <c r="B5" s="19" t="n">
        <v>18</v>
      </c>
    </row>
    <row r="6" ht="20" customHeight="1">
      <c r="A6" s="3" t="inlineStr">
        <is>
          <t>Ставка по депозиту / бизнесу клиента (%)</t>
        </is>
      </c>
      <c r="B6" s="7" t="n">
        <v>0.18</v>
      </c>
    </row>
    <row r="7" ht="24" customHeight="1">
      <c r="A7" s="1" t="inlineStr">
        <is>
          <t>ГРАФИК И ВЫГОДА</t>
        </is>
      </c>
      <c r="B7" s="2" t="n"/>
    </row>
    <row r="8" ht="20" customHeight="1">
      <c r="A8" s="12" t="inlineStr">
        <is>
          <t>Сумма первоначального взноса (руб.)</t>
        </is>
      </c>
      <c r="B8" s="13">
        <f>B2*B3</f>
        <v/>
      </c>
    </row>
    <row r="9" ht="20" customHeight="1">
      <c r="A9" s="10" t="inlineStr">
        <is>
          <t>Сумма промежуточных платежей (руб.)</t>
        </is>
      </c>
      <c r="B9" s="11">
        <f>B4*B5</f>
        <v/>
      </c>
    </row>
    <row r="10" ht="20" customHeight="1">
      <c r="A10" s="12" t="inlineStr">
        <is>
          <t>Остаток (шаровый платеж перед сдачей) (руб.)</t>
        </is>
      </c>
      <c r="B10" s="13">
        <f>B2-B8-B9</f>
        <v/>
      </c>
    </row>
    <row r="11" ht="20" customHeight="1">
      <c r="A11" s="14" t="inlineStr">
        <is>
          <t>Альтернативная прибыль от остатка на депозите (руб.)</t>
        </is>
      </c>
      <c r="B11" s="15">
        <f>B10*(B6/12)*B5</f>
        <v/>
      </c>
    </row>
  </sheetData>
  <mergeCells count="2">
    <mergeCell ref="A1:B1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2026-06-25T17:54:03Z</dcterms:created>
  <dcterms:modified xmlns:dcterms="http://purl.org/dc/terms/" xmlns:xsi="http://www.w3.org/2001/XMLSchema-instance" xsi:type="dcterms:W3CDTF">2026-06-25T17:54:03Z</dcterms:modified>
</cp:coreProperties>
</file>